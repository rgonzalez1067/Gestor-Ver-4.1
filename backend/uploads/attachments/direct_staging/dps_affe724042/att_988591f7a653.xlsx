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gonzalez\Desktop\1 Gerencia General\Proyectos Emergent\Gestor de Cotizaciones\Data de Prueba\"/>
    </mc:Choice>
  </mc:AlternateContent>
  <xr:revisionPtr revIDLastSave="0" documentId="8_{7BB7EFE7-ECDF-48B1-B7CB-14C5DD25A5F4}" xr6:coauthVersionLast="47" xr6:coauthVersionMax="47" xr10:uidLastSave="{00000000-0000-0000-0000-000000000000}"/>
  <bookViews>
    <workbookView xWindow="-98" yWindow="-98" windowWidth="19396" windowHeight="10395" xr2:uid="{7FDD9547-DCDE-4869-93FD-8676DFD752C8}"/>
  </bookViews>
  <sheets>
    <sheet name="Hoja1" sheetId="1" r:id="rId1"/>
    <sheet name="Hoja2" sheetId="2" r:id="rId2"/>
    <sheet name="Hoja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" l="1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</calcChain>
</file>

<file path=xl/sharedStrings.xml><?xml version="1.0" encoding="utf-8"?>
<sst xmlns="http://schemas.openxmlformats.org/spreadsheetml/2006/main" count="35" uniqueCount="34">
  <si>
    <t>Concepto</t>
  </si>
  <si>
    <t>Comentarios</t>
  </si>
  <si>
    <t>OHA TECHNOLOGY, C.A.</t>
  </si>
  <si>
    <t>J-502383301</t>
  </si>
  <si>
    <t>Inversión en set-up o arranque</t>
  </si>
  <si>
    <t>Cant.</t>
  </si>
  <si>
    <t>Personas jurídicas</t>
  </si>
  <si>
    <t>Total</t>
  </si>
  <si>
    <t xml:space="preserve">Monto USD </t>
  </si>
  <si>
    <t>Costo unico por Implementación</t>
  </si>
  <si>
    <t>Inversión recurrente mes (Estimado según tabulador)</t>
  </si>
  <si>
    <t>Mantenimiento Base Mensual</t>
  </si>
  <si>
    <t>Base mensual</t>
  </si>
  <si>
    <t>Registro o eliminación de persona</t>
  </si>
  <si>
    <t>Por cada persona registrada o eliminada</t>
  </si>
  <si>
    <t>Creación de Token</t>
  </si>
  <si>
    <t>Por cada Token creado o eliminado</t>
  </si>
  <si>
    <t>Consulta de Token</t>
  </si>
  <si>
    <t>Por cada Consulta de Token</t>
  </si>
  <si>
    <t>Ejecución de transacción</t>
  </si>
  <si>
    <t>Por cada ejecución de Transacción de Pago</t>
  </si>
  <si>
    <t>Costos Recurrentes</t>
  </si>
  <si>
    <t>Inversión recurrente mes (Estimado según Tabulador)</t>
  </si>
  <si>
    <t>RANGO SELECCIÓN</t>
  </si>
  <si>
    <t>Transacciones procesadas por persona jurídica/mes</t>
  </si>
  <si>
    <t>Total USD Base + Medios de Pago</t>
  </si>
  <si>
    <t>Precio TRX Rango Tope</t>
  </si>
  <si>
    <r>
      <t xml:space="preserve">Depende de la cantidad total de transacciones procesadas en el mes, </t>
    </r>
    <r>
      <rPr>
        <u/>
        <sz val="11"/>
        <color theme="4" tint="-0.499984740745262"/>
        <rFont val="Calibri"/>
        <family val="2"/>
        <scheme val="minor"/>
      </rPr>
      <t>por todos los medios de pago que disponga el proyecto</t>
    </r>
    <r>
      <rPr>
        <sz val="11"/>
        <color theme="4" tint="-0.499984740745262"/>
        <rFont val="Calibri"/>
        <family val="2"/>
        <scheme val="minor"/>
      </rPr>
      <t>.</t>
    </r>
  </si>
  <si>
    <t>PREPARADO PARA</t>
  </si>
  <si>
    <t>CLIENTE</t>
  </si>
  <si>
    <t>RIF</t>
  </si>
  <si>
    <t xml:space="preserve">PROYECTO </t>
  </si>
  <si>
    <t>PAYMENT GATEWAY + TOKENIZADOR</t>
  </si>
  <si>
    <t>Tarifa del Tokenizador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</si>
</sst>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$-540A]#,##0.00"/>
    <numFmt numFmtId="165" formatCode="[$$-540A]#,##0.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7" tint="0.79998168889431442"/>
      <name val="Arial"/>
      <family val="2"/>
    </font>
    <font>
      <sz val="11"/>
      <color theme="7" tint="0.79998168889431442"/>
      <name val="Arial"/>
      <family val="2"/>
    </font>
    <font>
      <b/>
      <sz val="12"/>
      <color theme="3" tint="-0.499984740745262"/>
      <name val="Arial"/>
      <family val="2"/>
    </font>
    <font>
      <b/>
      <sz val="11"/>
      <color theme="7" tint="0.79998168889431442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12"/>
      <color theme="7" tint="0.79998168889431442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4" tint="-0.499984740745262"/>
      <name val="Calibri"/>
      <family val="2"/>
      <scheme val="minor"/>
    </font>
    <font>
      <u/>
      <sz val="11"/>
      <color theme="4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sz val="16"/>
      <color theme="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2"/>
      <name val="Calibri"/>
      <family val="2"/>
      <scheme val="minor"/>
    </font>
    <font>
      <sz val="11"/>
      <color theme="2"/>
      <name val="Arial"/>
      <family val="2"/>
    </font>
    <font>
      <b/>
      <sz val="12"/>
      <color theme="2"/>
      <name val="Arial"/>
      <family val="2"/>
    </font>
    <font>
      <b/>
      <sz val="11"/>
      <color theme="9" tint="0.7999816888943144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/>
    <xf numFmtId="43" fontId="0" fillId="0" borderId="0" xfId="1" applyFont="1"/>
    <xf numFmtId="0" fontId="10" fillId="3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165" fontId="7" fillId="4" borderId="2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>
      <alignment vertical="center" wrapText="1"/>
    </xf>
    <xf numFmtId="0" fontId="0" fillId="5" borderId="0" xfId="0" applyFill="1"/>
    <xf numFmtId="0" fontId="13" fillId="0" borderId="0" xfId="0" applyFont="1"/>
    <xf numFmtId="0" fontId="0" fillId="6" borderId="0" xfId="0" applyFill="1"/>
    <xf numFmtId="0" fontId="17" fillId="8" borderId="0" xfId="0" applyFont="1" applyFill="1"/>
    <xf numFmtId="0" fontId="18" fillId="8" borderId="0" xfId="0" applyFont="1" applyFill="1" applyAlignment="1">
      <alignment vertical="center" wrapText="1"/>
    </xf>
    <xf numFmtId="0" fontId="8" fillId="7" borderId="0" xfId="0" applyFont="1" applyFill="1"/>
    <xf numFmtId="0" fontId="5" fillId="7" borderId="0" xfId="0" applyFont="1" applyFill="1" applyAlignment="1">
      <alignment vertical="center" wrapText="1"/>
    </xf>
    <xf numFmtId="164" fontId="20" fillId="4" borderId="2" xfId="0" applyNumberFormat="1" applyFont="1" applyFill="1" applyBorder="1" applyAlignment="1" applyProtection="1">
      <alignment horizontal="right" vertical="center" wrapText="1"/>
      <protection locked="0"/>
    </xf>
    <xf numFmtId="0" fontId="15" fillId="7" borderId="4" xfId="0" applyFont="1" applyFill="1" applyBorder="1"/>
    <xf numFmtId="43" fontId="15" fillId="7" borderId="4" xfId="1" applyFont="1" applyFill="1" applyBorder="1"/>
    <xf numFmtId="0" fontId="15" fillId="0" borderId="0" xfId="0" applyFont="1"/>
    <xf numFmtId="43" fontId="15" fillId="0" borderId="0" xfId="1" applyFont="1" applyFill="1" applyBorder="1"/>
    <xf numFmtId="0" fontId="14" fillId="8" borderId="0" xfId="0" applyFont="1" applyFill="1" applyAlignment="1">
      <alignment horizontal="center" vertical="center"/>
    </xf>
    <xf numFmtId="0" fontId="16" fillId="7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2" fontId="19" fillId="8" borderId="0" xfId="0" applyNumberFormat="1" applyFont="1" applyFill="1" applyAlignment="1">
      <alignment horizontal="center" vertical="center" wrapText="1"/>
    </xf>
    <xf numFmtId="0" fontId="17" fillId="8" borderId="0" xfId="0" applyFont="1" applyFill="1" applyAlignment="1">
      <alignment horizontal="center"/>
    </xf>
    <xf numFmtId="2" fontId="6" fillId="2" borderId="0" xfId="0" applyNumberFormat="1" applyFont="1" applyFill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wrapText="1"/>
    </xf>
    <xf numFmtId="0" fontId="11" fillId="2" borderId="5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gonzalez/Desktop/1%20Gerencia%20General/2%20Merchant%20Server/00%20-%20Modelos%20para%20Proyecto%20Merchant/Cotizador%20PG%20Tarifas%20Vigentes%20202401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F"/>
      <sheetName val="Datos Basicos"/>
      <sheetName val="Cotizador nuevo"/>
      <sheetName val="Propuesta PG"/>
      <sheetName val="Factura PG"/>
      <sheetName val="Correo Imple "/>
      <sheetName val="Tarifas set-up"/>
      <sheetName val="Tarifas recurrentes"/>
      <sheetName val="Condiciones de pago"/>
      <sheetName val="Tab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5">
            <v>1</v>
          </cell>
          <cell r="B5">
            <v>0</v>
          </cell>
          <cell r="C5">
            <v>200</v>
          </cell>
          <cell r="D5">
            <v>24</v>
          </cell>
          <cell r="E5">
            <v>6</v>
          </cell>
          <cell r="F5">
            <v>6</v>
          </cell>
          <cell r="G5">
            <v>6</v>
          </cell>
          <cell r="H5">
            <v>6</v>
          </cell>
          <cell r="I5">
            <v>6</v>
          </cell>
          <cell r="J5">
            <v>6</v>
          </cell>
          <cell r="K5">
            <v>6</v>
          </cell>
          <cell r="L5">
            <v>6</v>
          </cell>
          <cell r="M5">
            <v>6</v>
          </cell>
          <cell r="N5">
            <v>6</v>
          </cell>
          <cell r="O5">
            <v>6</v>
          </cell>
          <cell r="P5">
            <v>36</v>
          </cell>
          <cell r="Q5">
            <v>0.18</v>
          </cell>
        </row>
        <row r="6">
          <cell r="A6">
            <v>2</v>
          </cell>
          <cell r="B6">
            <v>201</v>
          </cell>
          <cell r="C6">
            <v>400</v>
          </cell>
          <cell r="D6">
            <v>25</v>
          </cell>
          <cell r="E6">
            <v>6.25</v>
          </cell>
          <cell r="F6">
            <v>6.25</v>
          </cell>
          <cell r="G6">
            <v>6.25</v>
          </cell>
          <cell r="H6">
            <v>6.25</v>
          </cell>
          <cell r="I6">
            <v>6.25</v>
          </cell>
          <cell r="J6">
            <v>6.25</v>
          </cell>
          <cell r="K6">
            <v>6.25</v>
          </cell>
          <cell r="L6">
            <v>6.25</v>
          </cell>
          <cell r="M6">
            <v>6.25</v>
          </cell>
          <cell r="N6">
            <v>6.25</v>
          </cell>
          <cell r="O6">
            <v>6.25</v>
          </cell>
          <cell r="P6">
            <v>37.5</v>
          </cell>
          <cell r="Q6">
            <v>9.375E-2</v>
          </cell>
        </row>
        <row r="7">
          <cell r="A7">
            <v>3</v>
          </cell>
          <cell r="B7">
            <v>401</v>
          </cell>
          <cell r="C7">
            <v>600</v>
          </cell>
          <cell r="D7">
            <v>26.8</v>
          </cell>
          <cell r="E7">
            <v>6.7</v>
          </cell>
          <cell r="F7">
            <v>6.7</v>
          </cell>
          <cell r="G7">
            <v>6.7</v>
          </cell>
          <cell r="H7">
            <v>6.7</v>
          </cell>
          <cell r="I7">
            <v>6.7</v>
          </cell>
          <cell r="J7">
            <v>6.7</v>
          </cell>
          <cell r="K7">
            <v>6.7</v>
          </cell>
          <cell r="L7">
            <v>6.7</v>
          </cell>
          <cell r="M7">
            <v>6.7</v>
          </cell>
          <cell r="N7">
            <v>6.7</v>
          </cell>
          <cell r="O7">
            <v>6.7</v>
          </cell>
          <cell r="P7">
            <v>40.200000000000003</v>
          </cell>
          <cell r="Q7">
            <v>6.7000000000000004E-2</v>
          </cell>
        </row>
        <row r="8">
          <cell r="A8">
            <v>4</v>
          </cell>
          <cell r="B8">
            <v>601</v>
          </cell>
          <cell r="C8">
            <v>800</v>
          </cell>
          <cell r="D8">
            <v>28.8</v>
          </cell>
          <cell r="E8">
            <v>7.2</v>
          </cell>
          <cell r="F8">
            <v>7.2</v>
          </cell>
          <cell r="G8">
            <v>7.2</v>
          </cell>
          <cell r="H8">
            <v>7.2</v>
          </cell>
          <cell r="I8">
            <v>7.2</v>
          </cell>
          <cell r="J8">
            <v>7.2</v>
          </cell>
          <cell r="K8">
            <v>7.2</v>
          </cell>
          <cell r="L8">
            <v>7.2</v>
          </cell>
          <cell r="M8">
            <v>7.2</v>
          </cell>
          <cell r="N8">
            <v>7.2</v>
          </cell>
          <cell r="O8">
            <v>7.2</v>
          </cell>
          <cell r="P8">
            <v>43.2</v>
          </cell>
          <cell r="Q8">
            <v>5.4000000000000006E-2</v>
          </cell>
        </row>
        <row r="9">
          <cell r="A9">
            <v>5</v>
          </cell>
          <cell r="B9">
            <v>801</v>
          </cell>
          <cell r="C9">
            <v>1000</v>
          </cell>
          <cell r="D9">
            <v>30.7</v>
          </cell>
          <cell r="E9">
            <v>7.7</v>
          </cell>
          <cell r="F9">
            <v>7.7</v>
          </cell>
          <cell r="G9">
            <v>7.7</v>
          </cell>
          <cell r="H9">
            <v>7.7</v>
          </cell>
          <cell r="I9">
            <v>7.7</v>
          </cell>
          <cell r="J9">
            <v>7.7</v>
          </cell>
          <cell r="K9">
            <v>7.7</v>
          </cell>
          <cell r="L9">
            <v>7.7</v>
          </cell>
          <cell r="M9">
            <v>7.7</v>
          </cell>
          <cell r="N9">
            <v>7.7</v>
          </cell>
          <cell r="O9">
            <v>7.7</v>
          </cell>
          <cell r="P9">
            <v>46.1</v>
          </cell>
          <cell r="Q9">
            <v>4.6100000000000002E-2</v>
          </cell>
        </row>
        <row r="10">
          <cell r="A10">
            <v>6</v>
          </cell>
          <cell r="B10">
            <v>1001</v>
          </cell>
          <cell r="C10">
            <v>2000</v>
          </cell>
          <cell r="D10">
            <v>38.4</v>
          </cell>
          <cell r="E10">
            <v>9.6</v>
          </cell>
          <cell r="F10">
            <v>9.6</v>
          </cell>
          <cell r="G10">
            <v>9.6</v>
          </cell>
          <cell r="H10">
            <v>9.6</v>
          </cell>
          <cell r="I10">
            <v>9.6</v>
          </cell>
          <cell r="J10">
            <v>9.6</v>
          </cell>
          <cell r="K10">
            <v>9.6</v>
          </cell>
          <cell r="L10">
            <v>9.6</v>
          </cell>
          <cell r="M10">
            <v>9.6</v>
          </cell>
          <cell r="N10">
            <v>9.6</v>
          </cell>
          <cell r="O10">
            <v>9.6</v>
          </cell>
          <cell r="P10">
            <v>57.6</v>
          </cell>
          <cell r="Q10">
            <v>2.8799999999999999E-2</v>
          </cell>
        </row>
        <row r="11">
          <cell r="A11">
            <v>7</v>
          </cell>
          <cell r="B11">
            <v>2001</v>
          </cell>
          <cell r="C11">
            <v>3000</v>
          </cell>
          <cell r="D11">
            <v>44.15</v>
          </cell>
          <cell r="E11">
            <v>11.05</v>
          </cell>
          <cell r="F11">
            <v>11.05</v>
          </cell>
          <cell r="G11">
            <v>11.05</v>
          </cell>
          <cell r="H11">
            <v>11.05</v>
          </cell>
          <cell r="I11">
            <v>11.05</v>
          </cell>
          <cell r="J11">
            <v>11.05</v>
          </cell>
          <cell r="K11">
            <v>11.05</v>
          </cell>
          <cell r="L11">
            <v>11.05</v>
          </cell>
          <cell r="M11">
            <v>11.05</v>
          </cell>
          <cell r="N11">
            <v>11.05</v>
          </cell>
          <cell r="O11">
            <v>11.05</v>
          </cell>
          <cell r="P11">
            <v>66.25</v>
          </cell>
          <cell r="Q11">
            <v>2.2083333333333333E-2</v>
          </cell>
        </row>
        <row r="12">
          <cell r="A12">
            <v>8</v>
          </cell>
          <cell r="B12">
            <v>3001</v>
          </cell>
          <cell r="C12">
            <v>4000</v>
          </cell>
          <cell r="D12">
            <v>48.95</v>
          </cell>
          <cell r="E12">
            <v>12.25</v>
          </cell>
          <cell r="F12">
            <v>12.25</v>
          </cell>
          <cell r="G12">
            <v>12.25</v>
          </cell>
          <cell r="H12">
            <v>12.25</v>
          </cell>
          <cell r="I12">
            <v>12.25</v>
          </cell>
          <cell r="J12">
            <v>12.25</v>
          </cell>
          <cell r="K12">
            <v>12.25</v>
          </cell>
          <cell r="L12">
            <v>12.25</v>
          </cell>
          <cell r="M12">
            <v>12.25</v>
          </cell>
          <cell r="N12">
            <v>12.25</v>
          </cell>
          <cell r="O12">
            <v>12.25</v>
          </cell>
          <cell r="P12">
            <v>73.45</v>
          </cell>
          <cell r="Q12">
            <v>1.83625E-2</v>
          </cell>
        </row>
        <row r="13">
          <cell r="A13">
            <v>9</v>
          </cell>
          <cell r="B13">
            <v>4001</v>
          </cell>
          <cell r="C13">
            <v>5000</v>
          </cell>
          <cell r="D13">
            <v>55.7</v>
          </cell>
          <cell r="E13">
            <v>14</v>
          </cell>
          <cell r="F13">
            <v>14</v>
          </cell>
          <cell r="G13">
            <v>14</v>
          </cell>
          <cell r="H13">
            <v>14</v>
          </cell>
          <cell r="I13">
            <v>14</v>
          </cell>
          <cell r="J13">
            <v>14</v>
          </cell>
          <cell r="K13">
            <v>14</v>
          </cell>
          <cell r="L13">
            <v>14</v>
          </cell>
          <cell r="M13">
            <v>14</v>
          </cell>
          <cell r="N13">
            <v>14</v>
          </cell>
          <cell r="O13">
            <v>14</v>
          </cell>
          <cell r="P13">
            <v>83.7</v>
          </cell>
          <cell r="Q13">
            <v>1.6740000000000001E-2</v>
          </cell>
        </row>
        <row r="14">
          <cell r="A14">
            <v>10</v>
          </cell>
          <cell r="B14">
            <v>5001</v>
          </cell>
          <cell r="C14">
            <v>6000</v>
          </cell>
          <cell r="D14">
            <v>59.5</v>
          </cell>
          <cell r="E14">
            <v>14.8</v>
          </cell>
          <cell r="F14">
            <v>14.8</v>
          </cell>
          <cell r="G14">
            <v>14.8</v>
          </cell>
          <cell r="H14">
            <v>14.8</v>
          </cell>
          <cell r="I14">
            <v>14.8</v>
          </cell>
          <cell r="J14">
            <v>14.8</v>
          </cell>
          <cell r="K14">
            <v>14.8</v>
          </cell>
          <cell r="L14">
            <v>14.8</v>
          </cell>
          <cell r="M14">
            <v>14.8</v>
          </cell>
          <cell r="N14">
            <v>14.8</v>
          </cell>
          <cell r="O14">
            <v>14.8</v>
          </cell>
          <cell r="P14">
            <v>89.1</v>
          </cell>
          <cell r="Q14">
            <v>1.4849999999999999E-2</v>
          </cell>
        </row>
        <row r="15">
          <cell r="A15">
            <v>11</v>
          </cell>
          <cell r="B15">
            <v>6001</v>
          </cell>
          <cell r="C15">
            <v>7000</v>
          </cell>
          <cell r="D15">
            <v>66.25</v>
          </cell>
          <cell r="E15">
            <v>16.600000000000001</v>
          </cell>
          <cell r="F15">
            <v>16.600000000000001</v>
          </cell>
          <cell r="G15">
            <v>16.600000000000001</v>
          </cell>
          <cell r="H15">
            <v>16.600000000000001</v>
          </cell>
          <cell r="I15">
            <v>16.600000000000001</v>
          </cell>
          <cell r="J15">
            <v>16.600000000000001</v>
          </cell>
          <cell r="K15">
            <v>16.600000000000001</v>
          </cell>
          <cell r="L15">
            <v>16.600000000000001</v>
          </cell>
          <cell r="M15">
            <v>16.600000000000001</v>
          </cell>
          <cell r="N15">
            <v>16.600000000000001</v>
          </cell>
          <cell r="O15">
            <v>16.600000000000001</v>
          </cell>
          <cell r="P15">
            <v>99.449999999999989</v>
          </cell>
          <cell r="Q15">
            <v>1.4207142857142856E-2</v>
          </cell>
        </row>
        <row r="16">
          <cell r="A16">
            <v>12</v>
          </cell>
          <cell r="B16">
            <v>7001</v>
          </cell>
          <cell r="C16">
            <v>8000</v>
          </cell>
          <cell r="D16">
            <v>70.099999999999994</v>
          </cell>
          <cell r="E16">
            <v>17.600000000000001</v>
          </cell>
          <cell r="F16">
            <v>17.600000000000001</v>
          </cell>
          <cell r="G16">
            <v>17.600000000000001</v>
          </cell>
          <cell r="H16">
            <v>17.600000000000001</v>
          </cell>
          <cell r="I16">
            <v>17.600000000000001</v>
          </cell>
          <cell r="J16">
            <v>17.600000000000001</v>
          </cell>
          <cell r="K16">
            <v>17.600000000000001</v>
          </cell>
          <cell r="L16">
            <v>17.600000000000001</v>
          </cell>
          <cell r="M16">
            <v>17.600000000000001</v>
          </cell>
          <cell r="N16">
            <v>17.600000000000001</v>
          </cell>
          <cell r="O16">
            <v>17.600000000000001</v>
          </cell>
          <cell r="P16">
            <v>105.29999999999998</v>
          </cell>
          <cell r="Q16">
            <v>1.3162499999999997E-2</v>
          </cell>
        </row>
        <row r="17">
          <cell r="A17">
            <v>13</v>
          </cell>
          <cell r="B17">
            <v>8001</v>
          </cell>
          <cell r="C17">
            <v>9000</v>
          </cell>
          <cell r="D17">
            <v>73</v>
          </cell>
          <cell r="E17">
            <v>18.25</v>
          </cell>
          <cell r="F17">
            <v>18.25</v>
          </cell>
          <cell r="G17">
            <v>18.25</v>
          </cell>
          <cell r="H17">
            <v>18.25</v>
          </cell>
          <cell r="I17">
            <v>18.25</v>
          </cell>
          <cell r="J17">
            <v>18.25</v>
          </cell>
          <cell r="K17">
            <v>18.25</v>
          </cell>
          <cell r="L17">
            <v>18.25</v>
          </cell>
          <cell r="M17">
            <v>18.25</v>
          </cell>
          <cell r="N17">
            <v>18.25</v>
          </cell>
          <cell r="O17">
            <v>18.25</v>
          </cell>
          <cell r="P17">
            <v>109.5</v>
          </cell>
          <cell r="Q17">
            <v>1.2166666666666666E-2</v>
          </cell>
        </row>
        <row r="18">
          <cell r="A18">
            <v>14</v>
          </cell>
          <cell r="B18">
            <v>9001</v>
          </cell>
          <cell r="C18">
            <v>10000</v>
          </cell>
          <cell r="D18">
            <v>76.8</v>
          </cell>
          <cell r="E18">
            <v>19.2</v>
          </cell>
          <cell r="F18">
            <v>19.2</v>
          </cell>
          <cell r="G18">
            <v>19.2</v>
          </cell>
          <cell r="H18">
            <v>19.2</v>
          </cell>
          <cell r="I18">
            <v>19.2</v>
          </cell>
          <cell r="J18">
            <v>19.2</v>
          </cell>
          <cell r="K18">
            <v>19.2</v>
          </cell>
          <cell r="L18">
            <v>19.2</v>
          </cell>
          <cell r="M18">
            <v>19.2</v>
          </cell>
          <cell r="N18">
            <v>19.2</v>
          </cell>
          <cell r="O18">
            <v>19.2</v>
          </cell>
          <cell r="P18">
            <v>115.2</v>
          </cell>
          <cell r="Q18">
            <v>1.1520000000000001E-2</v>
          </cell>
        </row>
        <row r="19">
          <cell r="A19">
            <v>15</v>
          </cell>
          <cell r="B19">
            <v>10001</v>
          </cell>
          <cell r="C19">
            <v>100000</v>
          </cell>
          <cell r="D19">
            <v>8.9999999999999993E-3</v>
          </cell>
          <cell r="E19">
            <v>2.4000000000000001E-4</v>
          </cell>
          <cell r="F19">
            <v>2.4000000000000001E-4</v>
          </cell>
          <cell r="G19">
            <v>2.4000000000000001E-4</v>
          </cell>
          <cell r="H19">
            <v>2.4000000000000001E-4</v>
          </cell>
          <cell r="I19">
            <v>2.4000000000000001E-4</v>
          </cell>
          <cell r="J19">
            <v>2.4000000000000001E-4</v>
          </cell>
          <cell r="K19">
            <v>2.4000000000000001E-4</v>
          </cell>
          <cell r="L19">
            <v>2.4000000000000001E-4</v>
          </cell>
          <cell r="M19">
            <v>2.4000000000000001E-4</v>
          </cell>
          <cell r="N19">
            <v>2.4000000000000001E-4</v>
          </cell>
          <cell r="O19">
            <v>2.4000000000000001E-4</v>
          </cell>
          <cell r="P19"/>
          <cell r="Q19">
            <v>9.4800000000000006E-3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D988B-AE9B-4C02-A36F-8FE606FED55D}">
  <sheetPr>
    <pageSetUpPr fitToPage="1"/>
  </sheetPr>
  <dimension ref="A8:F29"/>
  <sheetViews>
    <sheetView showGridLines="0" tabSelected="1" topLeftCell="A17" workbookViewId="0">
      <selection activeCell="A5" sqref="A5:F32"/>
    </sheetView>
  </sheetViews>
  <sheetFormatPr baseColWidth="10" defaultColWidth="11.3984375" defaultRowHeight="13.5" x14ac:dyDescent="0.45"/>
  <cols>
    <col min="1" max="1" width="34.86328125" style="1" customWidth="1"/>
    <col min="2" max="2" width="11.3984375" style="1"/>
    <col min="3" max="3" width="14.06640625" style="1" customWidth="1"/>
    <col min="4" max="4" width="15.06640625" style="1" customWidth="1"/>
    <col min="5" max="5" width="14.73046875" style="1" customWidth="1"/>
    <col min="6" max="6" width="11.3984375" style="1"/>
    <col min="7" max="7" width="13.73046875" style="1" customWidth="1"/>
    <col min="8" max="16384" width="11.3984375" style="1"/>
  </cols>
  <sheetData>
    <row r="8" spans="1:6" ht="30.75" customHeight="1" x14ac:dyDescent="0.45">
      <c r="A8" s="21" t="s">
        <v>33</v>
      </c>
      <c r="B8" s="21"/>
      <c r="C8" s="21"/>
      <c r="D8" s="21"/>
      <c r="E8" s="21"/>
      <c r="F8" s="21"/>
    </row>
    <row r="12" spans="1:6" ht="15.75" x14ac:dyDescent="0.5">
      <c r="A12" s="22" t="s">
        <v>4</v>
      </c>
      <c r="B12" s="22"/>
      <c r="C12" s="22"/>
      <c r="D12" s="22"/>
      <c r="E12" s="22"/>
      <c r="F12" s="22"/>
    </row>
    <row r="14" spans="1:6" ht="14.25" customHeight="1" x14ac:dyDescent="0.45"/>
    <row r="15" spans="1:6" ht="14.25" customHeight="1" x14ac:dyDescent="0.45">
      <c r="A15" s="12" t="s">
        <v>0</v>
      </c>
      <c r="B15" s="12" t="s">
        <v>5</v>
      </c>
      <c r="C15" s="12" t="s">
        <v>8</v>
      </c>
      <c r="D15" s="12" t="s">
        <v>1</v>
      </c>
      <c r="E15" s="13"/>
      <c r="F15" s="13"/>
    </row>
    <row r="16" spans="1:6" ht="14.25" customHeight="1" x14ac:dyDescent="0.45">
      <c r="A16" s="2" t="s">
        <v>6</v>
      </c>
      <c r="B16">
        <v>1</v>
      </c>
      <c r="C16" s="3">
        <v>800</v>
      </c>
      <c r="D16" t="s">
        <v>9</v>
      </c>
    </row>
    <row r="17" spans="1:6" ht="14.65" thickBot="1" x14ac:dyDescent="0.5">
      <c r="A17" s="17" t="s">
        <v>7</v>
      </c>
      <c r="B17" s="17"/>
      <c r="C17" s="18">
        <v>800</v>
      </c>
      <c r="D17" s="17"/>
    </row>
    <row r="18" spans="1:6" ht="14.65" thickTop="1" x14ac:dyDescent="0.45">
      <c r="A18" s="19"/>
      <c r="B18" s="19"/>
      <c r="C18" s="20"/>
      <c r="D18" s="19"/>
    </row>
    <row r="19" spans="1:6" ht="14.25" x14ac:dyDescent="0.45">
      <c r="A19"/>
      <c r="B19"/>
      <c r="C19"/>
      <c r="D19"/>
    </row>
    <row r="20" spans="1:6" ht="24.4" customHeight="1" x14ac:dyDescent="0.45">
      <c r="A20" s="24" t="s">
        <v>21</v>
      </c>
      <c r="B20" s="24"/>
      <c r="C20" s="24"/>
      <c r="D20" s="24"/>
      <c r="E20" s="24"/>
      <c r="F20" s="24"/>
    </row>
    <row r="21" spans="1:6" ht="14.25" x14ac:dyDescent="0.45">
      <c r="A21"/>
      <c r="B21"/>
      <c r="C21"/>
      <c r="D21"/>
    </row>
    <row r="22" spans="1:6" ht="14.25" x14ac:dyDescent="0.45">
      <c r="A22"/>
      <c r="B22"/>
      <c r="C22"/>
      <c r="D22"/>
    </row>
    <row r="23" spans="1:6" ht="14.25" x14ac:dyDescent="0.45">
      <c r="A23" s="25" t="s">
        <v>10</v>
      </c>
      <c r="B23" s="25"/>
      <c r="C23" s="25"/>
      <c r="D23" s="25"/>
      <c r="E23" s="25"/>
      <c r="F23" s="25"/>
    </row>
    <row r="24" spans="1:6" ht="14.25" x14ac:dyDescent="0.45">
      <c r="A24" s="14"/>
      <c r="B24" s="14"/>
      <c r="C24" s="14"/>
      <c r="D24" s="14"/>
      <c r="E24" s="15"/>
      <c r="F24" s="15"/>
    </row>
    <row r="25" spans="1:6" ht="14.25" x14ac:dyDescent="0.45">
      <c r="A25" s="23" t="s">
        <v>11</v>
      </c>
      <c r="B25" s="23"/>
      <c r="C25" s="16">
        <v>80</v>
      </c>
      <c r="D25" t="s">
        <v>12</v>
      </c>
    </row>
    <row r="26" spans="1:6" ht="14.25" x14ac:dyDescent="0.45">
      <c r="A26" s="23" t="s">
        <v>13</v>
      </c>
      <c r="B26" s="23"/>
      <c r="C26" s="16">
        <v>0.02</v>
      </c>
      <c r="D26" t="s">
        <v>14</v>
      </c>
    </row>
    <row r="27" spans="1:6" ht="14.25" x14ac:dyDescent="0.45">
      <c r="A27" s="23" t="s">
        <v>15</v>
      </c>
      <c r="B27" s="23"/>
      <c r="C27" s="16">
        <v>2E-3</v>
      </c>
      <c r="D27" t="s">
        <v>16</v>
      </c>
    </row>
    <row r="28" spans="1:6" ht="14.25" x14ac:dyDescent="0.45">
      <c r="A28" s="23" t="s">
        <v>17</v>
      </c>
      <c r="B28" s="23"/>
      <c r="C28" s="16">
        <v>2E-3</v>
      </c>
      <c r="D28" t="s">
        <v>18</v>
      </c>
    </row>
    <row r="29" spans="1:6" ht="14.25" x14ac:dyDescent="0.45">
      <c r="A29" s="23" t="s">
        <v>19</v>
      </c>
      <c r="B29" s="23"/>
      <c r="C29" s="16">
        <v>1E-3</v>
      </c>
      <c r="D29" t="s">
        <v>20</v>
      </c>
    </row>
  </sheetData>
  <mergeCells count="9">
    <mergeCell ref="A8:F8"/>
    <mergeCell ref="A12:F12"/>
    <mergeCell ref="A29:B29"/>
    <mergeCell ref="A20:F20"/>
    <mergeCell ref="A23:F23"/>
    <mergeCell ref="A25:B25"/>
    <mergeCell ref="A26:B26"/>
    <mergeCell ref="A27:B27"/>
    <mergeCell ref="A28:B28"/>
  </mergeCells>
  <pageMargins left="0.70866141732283472" right="0.70866141732283472" top="0.74803149606299213" bottom="0.74803149606299213" header="0.31496062992125984" footer="0.31496062992125984"/>
  <pageSetup scale="8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7A4C8-B482-47DE-A5C0-0E0A2846139C}">
  <dimension ref="B3:G23"/>
  <sheetViews>
    <sheetView workbookViewId="0">
      <selection activeCell="H9" sqref="H9"/>
    </sheetView>
  </sheetViews>
  <sheetFormatPr baseColWidth="10" defaultRowHeight="14.25" x14ac:dyDescent="0.45"/>
  <cols>
    <col min="2" max="2" width="16.06640625" customWidth="1"/>
    <col min="3" max="3" width="36.33203125" customWidth="1"/>
    <col min="4" max="4" width="11.59765625" customWidth="1"/>
    <col min="5" max="5" width="13.9296875" customWidth="1"/>
  </cols>
  <sheetData>
    <row r="3" spans="2:7" ht="15" customHeight="1" x14ac:dyDescent="0.45">
      <c r="B3" s="26" t="s">
        <v>21</v>
      </c>
      <c r="C3" s="26"/>
      <c r="D3" s="26"/>
      <c r="E3" s="26"/>
      <c r="F3" s="8"/>
      <c r="G3" s="8"/>
    </row>
    <row r="5" spans="2:7" x14ac:dyDescent="0.45">
      <c r="B5" s="27" t="s">
        <v>22</v>
      </c>
      <c r="C5" s="28"/>
      <c r="D5" s="28"/>
      <c r="E5" s="29"/>
    </row>
    <row r="6" spans="2:7" ht="35.65" customHeight="1" x14ac:dyDescent="0.45">
      <c r="B6" s="30" t="s">
        <v>27</v>
      </c>
      <c r="C6" s="31"/>
      <c r="D6" s="31"/>
      <c r="E6" s="32"/>
    </row>
    <row r="7" spans="2:7" x14ac:dyDescent="0.45">
      <c r="B7" s="33" t="s">
        <v>23</v>
      </c>
      <c r="C7" s="33" t="s">
        <v>24</v>
      </c>
      <c r="D7" s="35" t="s">
        <v>25</v>
      </c>
      <c r="E7" s="35" t="s">
        <v>26</v>
      </c>
    </row>
    <row r="8" spans="2:7" x14ac:dyDescent="0.45">
      <c r="B8" s="34"/>
      <c r="C8" s="34"/>
      <c r="D8" s="36"/>
      <c r="E8" s="36"/>
    </row>
    <row r="9" spans="2:7" ht="21" customHeight="1" x14ac:dyDescent="0.45">
      <c r="B9" s="5">
        <v>1</v>
      </c>
      <c r="C9" s="4" t="str">
        <f>CONCATENATE("Entre ",VLOOKUP(B9,'[1]Tarifas recurrentes'!$A$5:$Q$19,2,FALSE)," a ",VLOOKUP(B9,'[1]Tarifas recurrentes'!$A$5:$Q$19,3,FALSE))</f>
        <v>Entre 0 a 200</v>
      </c>
      <c r="D9" s="6">
        <v>48</v>
      </c>
      <c r="E9" s="7">
        <v>0.24</v>
      </c>
    </row>
    <row r="10" spans="2:7" ht="21" customHeight="1" x14ac:dyDescent="0.45">
      <c r="B10" s="5">
        <v>2</v>
      </c>
      <c r="C10" s="4" t="str">
        <f>CONCATENATE("Entre ",VLOOKUP(B10,'[1]Tarifas recurrentes'!$A$5:$Q$19,2,FALSE)," a ",VLOOKUP(B10,'[1]Tarifas recurrentes'!$A$5:$Q$19,3,FALSE))</f>
        <v>Entre 201 a 400</v>
      </c>
      <c r="D10" s="6">
        <v>50</v>
      </c>
      <c r="E10" s="7">
        <v>0.125</v>
      </c>
    </row>
    <row r="11" spans="2:7" ht="21" customHeight="1" x14ac:dyDescent="0.45">
      <c r="B11" s="5">
        <v>3</v>
      </c>
      <c r="C11" s="4" t="str">
        <f>CONCATENATE("Entre ",VLOOKUP(B11,'[1]Tarifas recurrentes'!$A$5:$Q$19,2,FALSE)," a ",VLOOKUP(B11,'[1]Tarifas recurrentes'!$A$5:$Q$19,3,FALSE))</f>
        <v>Entre 401 a 600</v>
      </c>
      <c r="D11" s="6">
        <v>53.600000000000009</v>
      </c>
      <c r="E11" s="7">
        <v>8.9333333333333348E-2</v>
      </c>
    </row>
    <row r="12" spans="2:7" ht="21" customHeight="1" x14ac:dyDescent="0.45">
      <c r="B12" s="5">
        <v>4</v>
      </c>
      <c r="C12" s="4" t="str">
        <f>CONCATENATE("Entre ",VLOOKUP(B12,'[1]Tarifas recurrentes'!$A$5:$Q$19,2,FALSE)," a ",VLOOKUP(B12,'[1]Tarifas recurrentes'!$A$5:$Q$19,3,FALSE))</f>
        <v>Entre 601 a 800</v>
      </c>
      <c r="D12" s="6">
        <v>57.600000000000009</v>
      </c>
      <c r="E12" s="7">
        <v>7.2000000000000008E-2</v>
      </c>
    </row>
    <row r="13" spans="2:7" ht="21" customHeight="1" x14ac:dyDescent="0.45">
      <c r="B13" s="5">
        <v>5</v>
      </c>
      <c r="C13" s="4" t="str">
        <f>CONCATENATE("Entre ",VLOOKUP(B13,'[1]Tarifas recurrentes'!$A$5:$Q$19,2,FALSE)," a ",VLOOKUP(B13,'[1]Tarifas recurrentes'!$A$5:$Q$19,3,FALSE))</f>
        <v>Entre 801 a 1000</v>
      </c>
      <c r="D13" s="6">
        <v>61.500000000000007</v>
      </c>
      <c r="E13" s="7">
        <v>6.1500000000000006E-2</v>
      </c>
    </row>
    <row r="14" spans="2:7" ht="21" customHeight="1" x14ac:dyDescent="0.45">
      <c r="B14" s="5">
        <v>6</v>
      </c>
      <c r="C14" s="4" t="str">
        <f>CONCATENATE("Entre ",VLOOKUP(B14,'[1]Tarifas recurrentes'!$A$5:$Q$19,2,FALSE)," a ",VLOOKUP(B14,'[1]Tarifas recurrentes'!$A$5:$Q$19,3,FALSE))</f>
        <v>Entre 1001 a 2000</v>
      </c>
      <c r="D14" s="6">
        <v>76.8</v>
      </c>
      <c r="E14" s="7">
        <v>3.8399999999999997E-2</v>
      </c>
    </row>
    <row r="15" spans="2:7" ht="21" customHeight="1" x14ac:dyDescent="0.45">
      <c r="B15" s="5">
        <v>7</v>
      </c>
      <c r="C15" s="4" t="str">
        <f>CONCATENATE("Entre ",VLOOKUP(B15,'[1]Tarifas recurrentes'!$A$5:$Q$19,2,FALSE)," a ",VLOOKUP(B15,'[1]Tarifas recurrentes'!$A$5:$Q$19,3,FALSE))</f>
        <v>Entre 2001 a 3000</v>
      </c>
      <c r="D15" s="6">
        <v>88.35</v>
      </c>
      <c r="E15" s="7">
        <v>2.9449999999999997E-2</v>
      </c>
    </row>
    <row r="16" spans="2:7" ht="21" customHeight="1" x14ac:dyDescent="0.45">
      <c r="B16" s="5">
        <v>8</v>
      </c>
      <c r="C16" s="4" t="str">
        <f>CONCATENATE("Entre ",VLOOKUP(B16,'[1]Tarifas recurrentes'!$A$5:$Q$19,2,FALSE)," a ",VLOOKUP(B16,'[1]Tarifas recurrentes'!$A$5:$Q$19,3,FALSE))</f>
        <v>Entre 3001 a 4000</v>
      </c>
      <c r="D16" s="6">
        <v>97.95</v>
      </c>
      <c r="E16" s="7">
        <v>2.4487500000000002E-2</v>
      </c>
    </row>
    <row r="17" spans="2:5" ht="21" customHeight="1" x14ac:dyDescent="0.45">
      <c r="B17" s="5">
        <v>9</v>
      </c>
      <c r="C17" s="4" t="str">
        <f>CONCATENATE("Entre ",VLOOKUP(B17,'[1]Tarifas recurrentes'!$A$5:$Q$19,2,FALSE)," a ",VLOOKUP(B17,'[1]Tarifas recurrentes'!$A$5:$Q$19,3,FALSE))</f>
        <v>Entre 4001 a 5000</v>
      </c>
      <c r="D17" s="6">
        <v>111.7</v>
      </c>
      <c r="E17" s="7">
        <v>2.2340000000000002E-2</v>
      </c>
    </row>
    <row r="18" spans="2:5" ht="21" customHeight="1" x14ac:dyDescent="0.45">
      <c r="B18" s="5">
        <v>10</v>
      </c>
      <c r="C18" s="4" t="str">
        <f>CONCATENATE("Entre ",VLOOKUP(B18,'[1]Tarifas recurrentes'!$A$5:$Q$19,2,FALSE)," a ",VLOOKUP(B18,'[1]Tarifas recurrentes'!$A$5:$Q$19,3,FALSE))</f>
        <v>Entre 5001 a 6000</v>
      </c>
      <c r="D18" s="6">
        <v>118.69999999999999</v>
      </c>
      <c r="E18" s="7">
        <v>1.978333333333333E-2</v>
      </c>
    </row>
    <row r="19" spans="2:5" ht="21" customHeight="1" x14ac:dyDescent="0.45">
      <c r="B19" s="5">
        <v>11</v>
      </c>
      <c r="C19" s="4" t="str">
        <f>CONCATENATE("Entre ",VLOOKUP(B19,'[1]Tarifas recurrentes'!$A$5:$Q$19,2,FALSE)," a ",VLOOKUP(B19,'[1]Tarifas recurrentes'!$A$5:$Q$19,3,FALSE))</f>
        <v>Entre 6001 a 7000</v>
      </c>
      <c r="D19" s="6">
        <v>132.64999999999998</v>
      </c>
      <c r="E19" s="7">
        <v>1.8949999999999998E-2</v>
      </c>
    </row>
    <row r="20" spans="2:5" ht="21" customHeight="1" x14ac:dyDescent="0.45">
      <c r="B20" s="5">
        <v>12</v>
      </c>
      <c r="C20" s="4" t="str">
        <f>CONCATENATE("Entre ",VLOOKUP(B20,'[1]Tarifas recurrentes'!$A$5:$Q$19,2,FALSE)," a ",VLOOKUP(B20,'[1]Tarifas recurrentes'!$A$5:$Q$19,3,FALSE))</f>
        <v>Entre 7001 a 8000</v>
      </c>
      <c r="D20" s="6">
        <v>140.49999999999997</v>
      </c>
      <c r="E20" s="7">
        <v>1.7562499999999995E-2</v>
      </c>
    </row>
    <row r="21" spans="2:5" ht="21" customHeight="1" x14ac:dyDescent="0.45">
      <c r="B21" s="5">
        <v>13</v>
      </c>
      <c r="C21" s="4" t="str">
        <f>CONCATENATE("Entre ",VLOOKUP(B21,'[1]Tarifas recurrentes'!$A$5:$Q$19,2,FALSE)," a ",VLOOKUP(B21,'[1]Tarifas recurrentes'!$A$5:$Q$19,3,FALSE))</f>
        <v>Entre 8001 a 9000</v>
      </c>
      <c r="D21" s="6">
        <v>146</v>
      </c>
      <c r="E21" s="7">
        <v>1.6222222222222221E-2</v>
      </c>
    </row>
    <row r="22" spans="2:5" ht="21" customHeight="1" x14ac:dyDescent="0.45">
      <c r="B22" s="5">
        <v>14</v>
      </c>
      <c r="C22" s="4" t="str">
        <f>CONCATENATE("Entre ",VLOOKUP(B22,'[1]Tarifas recurrentes'!$A$5:$Q$19,2,FALSE)," a ",VLOOKUP(B22,'[1]Tarifas recurrentes'!$A$5:$Q$19,3,FALSE))</f>
        <v>Entre 9001 a 10000</v>
      </c>
      <c r="D22" s="6">
        <v>153.6</v>
      </c>
      <c r="E22" s="7">
        <v>1.5359999999999999E-2</v>
      </c>
    </row>
    <row r="23" spans="2:5" ht="21" customHeight="1" x14ac:dyDescent="0.45">
      <c r="B23" s="5">
        <v>15</v>
      </c>
      <c r="C23" s="4" t="str">
        <f>CONCATENATE("Entre ",VLOOKUP(B23,'[1]Tarifas recurrentes'!$A$5:$Q$19,2,FALSE)," a ",VLOOKUP(B23,'[1]Tarifas recurrentes'!$A$5:$Q$19,3,FALSE))</f>
        <v>Entre 10001 a 100000</v>
      </c>
      <c r="D23" s="6"/>
      <c r="E23" s="7">
        <v>9.9600000000000018E-3</v>
      </c>
    </row>
  </sheetData>
  <mergeCells count="7">
    <mergeCell ref="B3:E3"/>
    <mergeCell ref="B5:E5"/>
    <mergeCell ref="B6:E6"/>
    <mergeCell ref="B7:B8"/>
    <mergeCell ref="C7:C8"/>
    <mergeCell ref="D7:D8"/>
    <mergeCell ref="E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0BC7F-3573-4A25-BB6E-CC6A3E3869F8}">
  <dimension ref="B3:D10"/>
  <sheetViews>
    <sheetView showGridLines="0" zoomScale="120" zoomScaleNormal="120" workbookViewId="0">
      <selection activeCell="F6" sqref="F6"/>
    </sheetView>
  </sheetViews>
  <sheetFormatPr baseColWidth="10" defaultRowHeight="14.25" x14ac:dyDescent="0.45"/>
  <cols>
    <col min="1" max="1" width="11.3984375" customWidth="1"/>
    <col min="2" max="2" width="0.6640625" customWidth="1"/>
    <col min="3" max="3" width="15.33203125" customWidth="1"/>
    <col min="4" max="4" width="36" customWidth="1"/>
  </cols>
  <sheetData>
    <row r="3" spans="2:4" x14ac:dyDescent="0.45">
      <c r="C3" s="2" t="s">
        <v>28</v>
      </c>
    </row>
    <row r="5" spans="2:4" x14ac:dyDescent="0.45">
      <c r="B5" s="9"/>
      <c r="C5" s="10" t="s">
        <v>29</v>
      </c>
      <c r="D5" s="2" t="s">
        <v>2</v>
      </c>
    </row>
    <row r="6" spans="2:4" x14ac:dyDescent="0.45">
      <c r="B6" s="9"/>
      <c r="C6" s="11"/>
      <c r="D6" s="11"/>
    </row>
    <row r="7" spans="2:4" x14ac:dyDescent="0.45">
      <c r="B7" s="9"/>
      <c r="C7" s="10" t="s">
        <v>30</v>
      </c>
      <c r="D7" s="2" t="s">
        <v>3</v>
      </c>
    </row>
    <row r="8" spans="2:4" x14ac:dyDescent="0.45">
      <c r="B8" s="9"/>
      <c r="C8" s="11"/>
      <c r="D8" s="11"/>
    </row>
    <row r="9" spans="2:4" x14ac:dyDescent="0.45">
      <c r="B9" s="9"/>
      <c r="C9" s="10" t="s">
        <v>31</v>
      </c>
      <c r="D9" s="2" t="s">
        <v>32</v>
      </c>
    </row>
    <row r="10" spans="2:4" x14ac:dyDescent="0.45">
      <c r="B10" s="9"/>
      <c r="C10" s="11"/>
      <c r="D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A. Gonzalez Gonzalez</dc:creator>
  <cp:lastModifiedBy>Rafael A. Gonzalez Gonzalez</cp:lastModifiedBy>
  <cp:lastPrinted>2026-07-03T15:50:10Z</cp:lastPrinted>
  <dcterms:created xsi:type="dcterms:W3CDTF">2026-05-29T14:13:39Z</dcterms:created>
  <dcterms:modified xsi:type="dcterms:W3CDTF">2026-07-03T15:53:25Z</dcterms:modified>
</cp:coreProperties>
</file>